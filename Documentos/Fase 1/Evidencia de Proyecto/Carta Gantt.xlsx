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_Table" sheetId="1" r:id="rId4"/>
    <sheet state="visible" name="Resource_Table" sheetId="2" r:id="rId5"/>
    <sheet state="visible" name="Assignment_Table" sheetId="3" r:id="rId6"/>
  </sheets>
  <definedNames/>
  <calcPr/>
  <extLst>
    <ext uri="GoogleSheetsCustomDataVersion2">
      <go:sheetsCustomData xmlns:go="http://customooxmlschemas.google.com/" r:id="rId7" roundtripDataChecksum="N4Bm0Av+X7PY9ngBqAtJW6WVI8ThhCzYYWYruKVQ64M="/>
    </ext>
  </extLst>
</workbook>
</file>

<file path=xl/sharedStrings.xml><?xml version="1.0" encoding="utf-8"?>
<sst xmlns="http://schemas.openxmlformats.org/spreadsheetml/2006/main" count="636" uniqueCount="245">
  <si>
    <t>ID</t>
  </si>
  <si>
    <t>TaskIndicators</t>
  </si>
  <si>
    <t>Task Mode</t>
  </si>
  <si>
    <t>Nombre de tarea</t>
  </si>
  <si>
    <t>Duration</t>
  </si>
  <si>
    <t>Start</t>
  </si>
  <si>
    <t>Finish</t>
  </si>
  <si>
    <t>1</t>
  </si>
  <si>
    <t/>
  </si>
  <si>
    <t>Yes</t>
  </si>
  <si>
    <t>Plataforma de Soporte Técnico y Gestión de Incidencias</t>
  </si>
  <si>
    <t xml:space="preserve">    Fase de analisis 1</t>
  </si>
  <si>
    <t>6 Dias</t>
  </si>
  <si>
    <t>Miercoles 27/08/25</t>
  </si>
  <si>
    <t xml:space="preserve">        Reunion inicial</t>
  </si>
  <si>
    <t>1 Dias</t>
  </si>
  <si>
    <t xml:space="preserve">        Acta de constitucion</t>
  </si>
  <si>
    <t xml:space="preserve">        Definir arquitectura</t>
  </si>
  <si>
    <t>0.2 Dias</t>
  </si>
  <si>
    <t xml:space="preserve">        Definir motor BDD</t>
  </si>
  <si>
    <t xml:space="preserve">        Delegacion de roles</t>
  </si>
  <si>
    <t>0.1 Dias</t>
  </si>
  <si>
    <t xml:space="preserve">        Kick off</t>
  </si>
  <si>
    <t>0.5 Dias</t>
  </si>
  <si>
    <t xml:space="preserve">        ERS</t>
  </si>
  <si>
    <t xml:space="preserve">        Toma de requerimientos</t>
  </si>
  <si>
    <t>0.4 Dias</t>
  </si>
  <si>
    <t xml:space="preserve">        Casos de uso</t>
  </si>
  <si>
    <t xml:space="preserve">        EDT</t>
  </si>
  <si>
    <t xml:space="preserve">        Matriz EDT</t>
  </si>
  <si>
    <t xml:space="preserve">    Fase de diseño 1</t>
  </si>
  <si>
    <t xml:space="preserve">        Casos de uso extendido</t>
  </si>
  <si>
    <t xml:space="preserve">        Diagrama de actividad</t>
  </si>
  <si>
    <t xml:space="preserve">        Diagrama de estado</t>
  </si>
  <si>
    <t xml:space="preserve">        Diagrama de secuencia</t>
  </si>
  <si>
    <t xml:space="preserve">        Modelo BDD</t>
  </si>
  <si>
    <t xml:space="preserve">        Diagrama de clases</t>
  </si>
  <si>
    <t xml:space="preserve">        Diagrama de objetos</t>
  </si>
  <si>
    <t xml:space="preserve">        Diagrama de componentes</t>
  </si>
  <si>
    <t xml:space="preserve">        Diagrama de paquetes</t>
  </si>
  <si>
    <t xml:space="preserve">        Diagrama de comunicación</t>
  </si>
  <si>
    <t xml:space="preserve">    Fase de desarrollo 1</t>
  </si>
  <si>
    <t xml:space="preserve">        Modulo Solicitud</t>
  </si>
  <si>
    <t>5 Dias</t>
  </si>
  <si>
    <t xml:space="preserve">        Modulo Stock</t>
  </si>
  <si>
    <t xml:space="preserve">    Fase de pruebas 1</t>
  </si>
  <si>
    <t xml:space="preserve">       Reunion</t>
  </si>
  <si>
    <t xml:space="preserve">       Elaboracion de plan</t>
  </si>
  <si>
    <t xml:space="preserve">       Ejecucion de pruebas</t>
  </si>
  <si>
    <t>4 Dias</t>
  </si>
  <si>
    <t xml:space="preserve">    Fase de cierre 1</t>
  </si>
  <si>
    <t xml:space="preserve">       Entrega de avances</t>
  </si>
  <si>
    <t xml:space="preserve">    Fase de diseño 2</t>
  </si>
  <si>
    <t xml:space="preserve">       Reunion de analisis de requerimientos</t>
  </si>
  <si>
    <t xml:space="preserve">       Desarrollar cambios</t>
  </si>
  <si>
    <t xml:space="preserve">    Fase de desarrollo 2</t>
  </si>
  <si>
    <t xml:space="preserve">        Modulo Busqueda</t>
  </si>
  <si>
    <t>10 dias</t>
  </si>
  <si>
    <t xml:space="preserve">         Modulo Auth/User</t>
  </si>
  <si>
    <t>10 Dias</t>
  </si>
  <si>
    <t xml:space="preserve">    Fase de pruebas 2</t>
  </si>
  <si>
    <t>3 Dias</t>
  </si>
  <si>
    <t xml:space="preserve">    Fase de cierre 2</t>
  </si>
  <si>
    <t xml:space="preserve">    Fase de diseño 3</t>
  </si>
  <si>
    <t xml:space="preserve">    Fase de desarrollo 3 (Modulos)</t>
  </si>
  <si>
    <t xml:space="preserve">        Modulo Reportes</t>
  </si>
  <si>
    <t xml:space="preserve">10 Dias </t>
  </si>
  <si>
    <t xml:space="preserve">        Modulo Seguimiento</t>
  </si>
  <si>
    <t xml:space="preserve">       Desarrollo final de modulos    </t>
  </si>
  <si>
    <t>20 dias</t>
  </si>
  <si>
    <t xml:space="preserve">    Fase de pruebas 3</t>
  </si>
  <si>
    <t xml:space="preserve">       Eliminacion de bugs</t>
  </si>
  <si>
    <t>2 Dias</t>
  </si>
  <si>
    <t xml:space="preserve">    Fase de cierre 3</t>
  </si>
  <si>
    <t xml:space="preserve">       Entrega de proyecto</t>
  </si>
  <si>
    <t xml:space="preserve"> ID</t>
  </si>
  <si>
    <t>Indicators</t>
  </si>
  <si>
    <t xml:space="preserve"> Resource name</t>
  </si>
  <si>
    <t xml:space="preserve"> Type</t>
  </si>
  <si>
    <t xml:space="preserve"> Material label</t>
  </si>
  <si>
    <t xml:space="preserve"> Initials</t>
  </si>
  <si>
    <t xml:space="preserve"> Group</t>
  </si>
  <si>
    <t xml:space="preserve"> Max.Units</t>
  </si>
  <si>
    <t xml:space="preserve"> Std.Rate</t>
  </si>
  <si>
    <t xml:space="preserve"> Ovt.Rate</t>
  </si>
  <si>
    <t xml:space="preserve"> Cost/Use</t>
  </si>
  <si>
    <t xml:space="preserve"> Accrue At</t>
  </si>
  <si>
    <t xml:space="preserve"> Base Calendar</t>
  </si>
  <si>
    <t xml:space="preserve"> Code</t>
  </si>
  <si>
    <t>Jefe de Proyecto</t>
  </si>
  <si>
    <t>Work</t>
  </si>
  <si>
    <t>JP</t>
  </si>
  <si>
    <t>100%</t>
  </si>
  <si>
    <t>€9.00/hr</t>
  </si>
  <si>
    <t>€0.00/hr</t>
  </si>
  <si>
    <t>0.00 €</t>
  </si>
  <si>
    <t>Prorated</t>
  </si>
  <si>
    <t>Estándar</t>
  </si>
  <si>
    <t>2</t>
  </si>
  <si>
    <t>Analista</t>
  </si>
  <si>
    <t>A</t>
  </si>
  <si>
    <t>€6.00/hr</t>
  </si>
  <si>
    <t>3</t>
  </si>
  <si>
    <t>SGBD</t>
  </si>
  <si>
    <t>S</t>
  </si>
  <si>
    <t>€8.00/hr</t>
  </si>
  <si>
    <t>4</t>
  </si>
  <si>
    <t>Back End</t>
  </si>
  <si>
    <t>B</t>
  </si>
  <si>
    <t>€5.00/hr</t>
  </si>
  <si>
    <t>5</t>
  </si>
  <si>
    <t>Fron End</t>
  </si>
  <si>
    <t>F</t>
  </si>
  <si>
    <t>€4.00/hr</t>
  </si>
  <si>
    <t>6</t>
  </si>
  <si>
    <t>Jefe de pruebas</t>
  </si>
  <si>
    <t>J</t>
  </si>
  <si>
    <t>7</t>
  </si>
  <si>
    <t>Tester</t>
  </si>
  <si>
    <t>T</t>
  </si>
  <si>
    <t xml:space="preserve"> Task name</t>
  </si>
  <si>
    <t xml:space="preserve"> Work</t>
  </si>
  <si>
    <t xml:space="preserve"> Duration</t>
  </si>
  <si>
    <t>Reunion inicial</t>
  </si>
  <si>
    <t>5.25 hrs</t>
  </si>
  <si>
    <t>0.88 days</t>
  </si>
  <si>
    <t>Delegacion de roles</t>
  </si>
  <si>
    <t>1 hr</t>
  </si>
  <si>
    <t>0.5 days</t>
  </si>
  <si>
    <t>Kick off</t>
  </si>
  <si>
    <t>5.28 hrs</t>
  </si>
  <si>
    <t>2 days</t>
  </si>
  <si>
    <t>Acta de constitucion</t>
  </si>
  <si>
    <t>6 hrs</t>
  </si>
  <si>
    <t>3 days</t>
  </si>
  <si>
    <t>Toma de requerimientos</t>
  </si>
  <si>
    <t>32 hrs</t>
  </si>
  <si>
    <t>10 days</t>
  </si>
  <si>
    <t>8</t>
  </si>
  <si>
    <t>Casos de uso</t>
  </si>
  <si>
    <t>4 hrs</t>
  </si>
  <si>
    <t>10</t>
  </si>
  <si>
    <t>ERS</t>
  </si>
  <si>
    <t>2.64 hrs</t>
  </si>
  <si>
    <t>1 day</t>
  </si>
  <si>
    <t>11</t>
  </si>
  <si>
    <t>Definir motor BDD</t>
  </si>
  <si>
    <t>2 hrs</t>
  </si>
  <si>
    <t>13</t>
  </si>
  <si>
    <t>EDT</t>
  </si>
  <si>
    <t>14</t>
  </si>
  <si>
    <t>Matriz EDT</t>
  </si>
  <si>
    <t>0.5 hrs</t>
  </si>
  <si>
    <t>0.25 days</t>
  </si>
  <si>
    <t>16</t>
  </si>
  <si>
    <t>Casos de uso extendido</t>
  </si>
  <si>
    <t>10 hrs</t>
  </si>
  <si>
    <t>5 days</t>
  </si>
  <si>
    <t>17</t>
  </si>
  <si>
    <t>Definir arquitectura</t>
  </si>
  <si>
    <t>21</t>
  </si>
  <si>
    <t>Estructura</t>
  </si>
  <si>
    <t>24 hrs</t>
  </si>
  <si>
    <t>22</t>
  </si>
  <si>
    <t>Funciones</t>
  </si>
  <si>
    <t>40 hrs</t>
  </si>
  <si>
    <t>23</t>
  </si>
  <si>
    <t>Manual de usuario</t>
  </si>
  <si>
    <t>13.2 hrs</t>
  </si>
  <si>
    <t>26</t>
  </si>
  <si>
    <t>Entrega</t>
  </si>
  <si>
    <t>1.75 hrs</t>
  </si>
  <si>
    <t>27</t>
  </si>
  <si>
    <t>Reunion</t>
  </si>
  <si>
    <t>28</t>
  </si>
  <si>
    <t>Elaboracion de plan</t>
  </si>
  <si>
    <t>30</t>
  </si>
  <si>
    <t>Registro de procesos</t>
  </si>
  <si>
    <t>8 hrs</t>
  </si>
  <si>
    <t>31</t>
  </si>
  <si>
    <t>Informe final</t>
  </si>
  <si>
    <t>32</t>
  </si>
  <si>
    <t>Diagrama de actividad</t>
  </si>
  <si>
    <t>33</t>
  </si>
  <si>
    <t>Diagrama de secuencia</t>
  </si>
  <si>
    <t>3.2 hrs</t>
  </si>
  <si>
    <t>34</t>
  </si>
  <si>
    <t>Diagrama de estado</t>
  </si>
  <si>
    <t>35</t>
  </si>
  <si>
    <t>Diagrama de componentes</t>
  </si>
  <si>
    <t>36</t>
  </si>
  <si>
    <t>Diagrama de clases</t>
  </si>
  <si>
    <t>0.8 hrs</t>
  </si>
  <si>
    <t>37</t>
  </si>
  <si>
    <t>Diagrama de casos de uso</t>
  </si>
  <si>
    <t>38</t>
  </si>
  <si>
    <t>Diagrama de paquetes</t>
  </si>
  <si>
    <t>39</t>
  </si>
  <si>
    <t>Diagrama de objetos</t>
  </si>
  <si>
    <t>0.4 hrs</t>
  </si>
  <si>
    <t>40</t>
  </si>
  <si>
    <t>Diagrama de comunicación</t>
  </si>
  <si>
    <t>51</t>
  </si>
  <si>
    <t>3.5 hrs</t>
  </si>
  <si>
    <t>52</t>
  </si>
  <si>
    <t>53</t>
  </si>
  <si>
    <t>54</t>
  </si>
  <si>
    <t>2.4 hrs</t>
  </si>
  <si>
    <t>55</t>
  </si>
  <si>
    <t>56</t>
  </si>
  <si>
    <t>57</t>
  </si>
  <si>
    <t>26.4 hrs</t>
  </si>
  <si>
    <t>58</t>
  </si>
  <si>
    <t>59</t>
  </si>
  <si>
    <t>16 hrs</t>
  </si>
  <si>
    <t>60</t>
  </si>
  <si>
    <t>1.6 hrs</t>
  </si>
  <si>
    <t>61</t>
  </si>
  <si>
    <t>12 hrs</t>
  </si>
  <si>
    <t>62</t>
  </si>
  <si>
    <t>18 hrs</t>
  </si>
  <si>
    <t>63</t>
  </si>
  <si>
    <t>64</t>
  </si>
  <si>
    <t>6.4 hrs</t>
  </si>
  <si>
    <t>65</t>
  </si>
  <si>
    <t>Modelo BDD</t>
  </si>
  <si>
    <t>66</t>
  </si>
  <si>
    <t>67</t>
  </si>
  <si>
    <t>68</t>
  </si>
  <si>
    <t>69</t>
  </si>
  <si>
    <t>70</t>
  </si>
  <si>
    <t>Diseño</t>
  </si>
  <si>
    <t>78</t>
  </si>
  <si>
    <t>79</t>
  </si>
  <si>
    <t>80</t>
  </si>
  <si>
    <t>81</t>
  </si>
  <si>
    <t>56 hrs</t>
  </si>
  <si>
    <t>7 days</t>
  </si>
  <si>
    <t>82</t>
  </si>
  <si>
    <t>83</t>
  </si>
  <si>
    <t>84</t>
  </si>
  <si>
    <t>85</t>
  </si>
  <si>
    <t>2.8 hrs</t>
  </si>
  <si>
    <t>86</t>
  </si>
  <si>
    <t>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</si>
</sst>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/mm/yy"/>
  </numFmts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horizontal="right"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164" xfId="0" applyAlignment="1" applyBorder="1" applyFont="1" applyNumberFormat="1">
      <alignment shrinkToFit="0" vertical="center" wrapText="0"/>
    </xf>
    <xf borderId="6" fillId="0" fontId="2" numFmtId="164" xfId="0" applyAlignment="1" applyBorder="1" applyFont="1" applyNumberForma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164" xfId="0" applyAlignment="1" applyBorder="1" applyFont="1" applyNumberForma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9" fillId="0" fontId="2" numFmtId="164" xfId="0" applyAlignment="1" applyBorder="1" applyFont="1" applyNumberForma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5" fillId="0" fontId="2" numFmtId="0" xfId="0" applyAlignment="1" applyBorder="1" applyFont="1">
      <alignment horizontal="left" shrinkToFit="0" vertical="center" wrapText="0"/>
    </xf>
    <xf borderId="5" fillId="2" fontId="3" numFmtId="0" xfId="0" applyAlignment="1" applyBorder="1" applyFill="1" applyFont="1">
      <alignment shrinkToFit="0" vertical="center" wrapText="0"/>
    </xf>
    <xf borderId="8" fillId="3" fontId="3" numFmtId="0" xfId="0" applyAlignment="1" applyBorder="1" applyFill="1" applyFont="1">
      <alignment shrinkToFit="0" vertical="center" wrapText="0"/>
    </xf>
    <xf borderId="0" fillId="0" fontId="4" numFmtId="0" xfId="0" applyFont="1"/>
    <xf borderId="8" fillId="0" fontId="5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164" xfId="0" applyAlignment="1" applyBorder="1" applyFont="1" applyNumberFormat="1">
      <alignment shrinkToFit="0" vertical="center" wrapText="0"/>
    </xf>
    <xf borderId="12" fillId="0" fontId="2" numFmtId="164" xfId="0" applyAlignment="1" applyBorder="1" applyFont="1" applyNumberFormat="1">
      <alignment shrinkToFit="0" vertical="center" wrapText="0"/>
    </xf>
    <xf borderId="0" fillId="0" fontId="7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ask_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0" displayName="Table_1" name="Table_1" id="1">
  <tableColumns count="7">
    <tableColumn name="ID" id="1"/>
    <tableColumn name="TaskIndicators" id="2"/>
    <tableColumn name="Task Mode" id="3"/>
    <tableColumn name="Nombre de tarea" id="4"/>
    <tableColumn name="Duration" id="5"/>
    <tableColumn name="Start" id="6"/>
    <tableColumn name="Finish" id="7"/>
  </tableColumns>
  <tableStyleInfo name="Task_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0"/>
    <col customWidth="1" min="3" max="3" width="20.29"/>
    <col customWidth="1" min="4" max="4" width="48.57"/>
    <col customWidth="1" min="5" max="5" width="14.57"/>
    <col customWidth="1" min="6" max="6" width="18.14"/>
    <col customWidth="1" min="7" max="7" width="20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>
        <f>SUM(E3,E15,E26,E29,E33,E35,E38,E41,E45,E47,E50,E54,E59) </f>
        <v>57</v>
      </c>
      <c r="F2" s="6">
        <v>45890.0</v>
      </c>
      <c r="G2" s="7">
        <v>46002.0</v>
      </c>
    </row>
    <row r="3">
      <c r="A3" s="8">
        <f t="shared" ref="A3:A38" si="1">A2+1</f>
        <v>2</v>
      </c>
      <c r="B3" s="9" t="s">
        <v>8</v>
      </c>
      <c r="C3" s="9" t="s">
        <v>9</v>
      </c>
      <c r="D3" s="9" t="s">
        <v>11</v>
      </c>
      <c r="E3" s="9" t="s">
        <v>12</v>
      </c>
      <c r="F3" s="10">
        <v>45890.0</v>
      </c>
      <c r="G3" s="11" t="s">
        <v>13</v>
      </c>
    </row>
    <row r="4">
      <c r="A4" s="12">
        <f t="shared" si="1"/>
        <v>3</v>
      </c>
      <c r="B4" s="5" t="s">
        <v>8</v>
      </c>
      <c r="C4" s="5" t="s">
        <v>9</v>
      </c>
      <c r="D4" s="5" t="s">
        <v>14</v>
      </c>
      <c r="E4" s="5" t="s">
        <v>15</v>
      </c>
      <c r="F4" s="6">
        <v>45890.0</v>
      </c>
      <c r="G4" s="7">
        <v>45890.0</v>
      </c>
    </row>
    <row r="5">
      <c r="A5" s="8">
        <f t="shared" si="1"/>
        <v>4</v>
      </c>
      <c r="B5" s="9" t="s">
        <v>8</v>
      </c>
      <c r="C5" s="9" t="s">
        <v>9</v>
      </c>
      <c r="D5" s="9" t="s">
        <v>16</v>
      </c>
      <c r="E5" s="9" t="s">
        <v>15</v>
      </c>
      <c r="F5" s="10">
        <v>45891.0</v>
      </c>
      <c r="G5" s="13">
        <v>45891.0</v>
      </c>
    </row>
    <row r="6">
      <c r="A6" s="12">
        <f t="shared" si="1"/>
        <v>5</v>
      </c>
      <c r="B6" s="5" t="s">
        <v>8</v>
      </c>
      <c r="C6" s="5" t="s">
        <v>9</v>
      </c>
      <c r="D6" s="5" t="s">
        <v>17</v>
      </c>
      <c r="E6" s="5" t="s">
        <v>18</v>
      </c>
      <c r="F6" s="6">
        <v>45894.0</v>
      </c>
      <c r="G6" s="7">
        <v>45894.0</v>
      </c>
    </row>
    <row r="7">
      <c r="A7" s="8">
        <f t="shared" si="1"/>
        <v>6</v>
      </c>
      <c r="B7" s="9" t="s">
        <v>8</v>
      </c>
      <c r="C7" s="9" t="s">
        <v>9</v>
      </c>
      <c r="D7" s="9" t="s">
        <v>19</v>
      </c>
      <c r="E7" s="9" t="s">
        <v>18</v>
      </c>
      <c r="F7" s="10">
        <v>45894.0</v>
      </c>
      <c r="G7" s="13">
        <v>45894.0</v>
      </c>
    </row>
    <row r="8">
      <c r="A8" s="12">
        <f t="shared" si="1"/>
        <v>7</v>
      </c>
      <c r="B8" s="5" t="s">
        <v>8</v>
      </c>
      <c r="C8" s="5" t="s">
        <v>9</v>
      </c>
      <c r="D8" s="5" t="s">
        <v>20</v>
      </c>
      <c r="E8" s="5" t="s">
        <v>21</v>
      </c>
      <c r="F8" s="6">
        <v>45894.0</v>
      </c>
      <c r="G8" s="7">
        <v>45894.0</v>
      </c>
    </row>
    <row r="9">
      <c r="A9" s="8">
        <f t="shared" si="1"/>
        <v>8</v>
      </c>
      <c r="B9" s="9" t="s">
        <v>8</v>
      </c>
      <c r="C9" s="9" t="s">
        <v>9</v>
      </c>
      <c r="D9" s="9" t="s">
        <v>22</v>
      </c>
      <c r="E9" s="9" t="s">
        <v>23</v>
      </c>
      <c r="F9" s="10">
        <v>45894.0</v>
      </c>
      <c r="G9" s="13">
        <v>45894.0</v>
      </c>
    </row>
    <row r="10">
      <c r="A10" s="12">
        <f t="shared" si="1"/>
        <v>9</v>
      </c>
      <c r="B10" s="5" t="s">
        <v>8</v>
      </c>
      <c r="C10" s="5" t="s">
        <v>9</v>
      </c>
      <c r="D10" s="5" t="s">
        <v>24</v>
      </c>
      <c r="E10" s="5" t="s">
        <v>15</v>
      </c>
      <c r="F10" s="6">
        <v>45895.0</v>
      </c>
      <c r="G10" s="7">
        <v>45895.0</v>
      </c>
    </row>
    <row r="11">
      <c r="A11" s="8">
        <f t="shared" si="1"/>
        <v>10</v>
      </c>
      <c r="B11" s="9" t="s">
        <v>8</v>
      </c>
      <c r="C11" s="9" t="s">
        <v>9</v>
      </c>
      <c r="D11" s="9" t="s">
        <v>25</v>
      </c>
      <c r="E11" s="9" t="s">
        <v>26</v>
      </c>
      <c r="F11" s="9" t="s">
        <v>13</v>
      </c>
      <c r="G11" s="13">
        <v>45896.0</v>
      </c>
    </row>
    <row r="12">
      <c r="A12" s="12">
        <f t="shared" si="1"/>
        <v>11</v>
      </c>
      <c r="B12" s="5" t="s">
        <v>8</v>
      </c>
      <c r="C12" s="5" t="s">
        <v>9</v>
      </c>
      <c r="D12" s="5" t="s">
        <v>27</v>
      </c>
      <c r="E12" s="5" t="s">
        <v>26</v>
      </c>
      <c r="F12" s="5" t="s">
        <v>13</v>
      </c>
      <c r="G12" s="14" t="s">
        <v>13</v>
      </c>
    </row>
    <row r="13">
      <c r="A13" s="8">
        <f t="shared" si="1"/>
        <v>12</v>
      </c>
      <c r="B13" s="9" t="s">
        <v>8</v>
      </c>
      <c r="C13" s="9" t="s">
        <v>9</v>
      </c>
      <c r="D13" s="9" t="s">
        <v>28</v>
      </c>
      <c r="E13" s="9" t="s">
        <v>21</v>
      </c>
      <c r="F13" s="9" t="s">
        <v>13</v>
      </c>
      <c r="G13" s="11" t="s">
        <v>13</v>
      </c>
    </row>
    <row r="14">
      <c r="A14" s="12">
        <f t="shared" si="1"/>
        <v>13</v>
      </c>
      <c r="B14" s="5" t="s">
        <v>8</v>
      </c>
      <c r="C14" s="5" t="s">
        <v>9</v>
      </c>
      <c r="D14" s="5" t="s">
        <v>29</v>
      </c>
      <c r="E14" s="5" t="s">
        <v>21</v>
      </c>
      <c r="F14" s="5" t="s">
        <v>13</v>
      </c>
      <c r="G14" s="14" t="s">
        <v>13</v>
      </c>
    </row>
    <row r="15">
      <c r="A15" s="8">
        <f t="shared" si="1"/>
        <v>14</v>
      </c>
      <c r="B15" s="9" t="s">
        <v>8</v>
      </c>
      <c r="C15" s="9" t="s">
        <v>9</v>
      </c>
      <c r="D15" s="9" t="s">
        <v>30</v>
      </c>
      <c r="E15" s="9">
        <v>4.0</v>
      </c>
      <c r="F15" s="9" t="s">
        <v>13</v>
      </c>
      <c r="G15" s="13">
        <v>45898.0</v>
      </c>
    </row>
    <row r="16">
      <c r="A16" s="12">
        <f t="shared" si="1"/>
        <v>15</v>
      </c>
      <c r="B16" s="5" t="s">
        <v>8</v>
      </c>
      <c r="C16" s="5" t="s">
        <v>9</v>
      </c>
      <c r="D16" s="5" t="s">
        <v>31</v>
      </c>
      <c r="E16" s="5" t="s">
        <v>23</v>
      </c>
      <c r="F16" s="5" t="s">
        <v>13</v>
      </c>
      <c r="G16" s="14" t="s">
        <v>13</v>
      </c>
    </row>
    <row r="17">
      <c r="A17" s="8">
        <f t="shared" si="1"/>
        <v>16</v>
      </c>
      <c r="B17" s="9" t="s">
        <v>8</v>
      </c>
      <c r="C17" s="9" t="s">
        <v>9</v>
      </c>
      <c r="D17" s="9" t="s">
        <v>32</v>
      </c>
      <c r="E17" s="9" t="s">
        <v>23</v>
      </c>
      <c r="F17" s="9" t="s">
        <v>13</v>
      </c>
      <c r="G17" s="11" t="s">
        <v>13</v>
      </c>
    </row>
    <row r="18">
      <c r="A18" s="12">
        <f t="shared" si="1"/>
        <v>17</v>
      </c>
      <c r="B18" s="5" t="s">
        <v>8</v>
      </c>
      <c r="C18" s="5" t="s">
        <v>9</v>
      </c>
      <c r="D18" s="5" t="s">
        <v>33</v>
      </c>
      <c r="E18" s="5" t="s">
        <v>26</v>
      </c>
      <c r="F18" s="6">
        <v>45897.0</v>
      </c>
      <c r="G18" s="7">
        <v>45897.0</v>
      </c>
    </row>
    <row r="19" ht="15.75" customHeight="1">
      <c r="A19" s="8">
        <f t="shared" si="1"/>
        <v>18</v>
      </c>
      <c r="B19" s="9" t="s">
        <v>8</v>
      </c>
      <c r="C19" s="9" t="s">
        <v>9</v>
      </c>
      <c r="D19" s="9" t="s">
        <v>34</v>
      </c>
      <c r="E19" s="9" t="s">
        <v>26</v>
      </c>
      <c r="F19" s="10">
        <v>45897.0</v>
      </c>
      <c r="G19" s="13">
        <v>45897.0</v>
      </c>
    </row>
    <row r="20" ht="15.75" customHeight="1">
      <c r="A20" s="12">
        <f t="shared" si="1"/>
        <v>19</v>
      </c>
      <c r="B20" s="5" t="s">
        <v>8</v>
      </c>
      <c r="C20" s="5" t="s">
        <v>9</v>
      </c>
      <c r="D20" s="5" t="s">
        <v>35</v>
      </c>
      <c r="E20" s="5" t="s">
        <v>18</v>
      </c>
      <c r="F20" s="6">
        <v>45897.0</v>
      </c>
      <c r="G20" s="7">
        <v>45897.0</v>
      </c>
    </row>
    <row r="21" ht="15.75" customHeight="1">
      <c r="A21" s="8">
        <f t="shared" si="1"/>
        <v>20</v>
      </c>
      <c r="B21" s="9" t="s">
        <v>8</v>
      </c>
      <c r="C21" s="9" t="s">
        <v>9</v>
      </c>
      <c r="D21" s="9" t="s">
        <v>36</v>
      </c>
      <c r="E21" s="9" t="s">
        <v>18</v>
      </c>
      <c r="F21" s="10">
        <v>45898.0</v>
      </c>
      <c r="G21" s="13">
        <v>45898.0</v>
      </c>
    </row>
    <row r="22" ht="15.75" customHeight="1">
      <c r="A22" s="12">
        <f t="shared" si="1"/>
        <v>21</v>
      </c>
      <c r="B22" s="5" t="s">
        <v>8</v>
      </c>
      <c r="C22" s="5" t="s">
        <v>9</v>
      </c>
      <c r="D22" s="5" t="s">
        <v>37</v>
      </c>
      <c r="E22" s="5" t="s">
        <v>18</v>
      </c>
      <c r="F22" s="6">
        <v>45898.0</v>
      </c>
      <c r="G22" s="7">
        <v>45898.0</v>
      </c>
    </row>
    <row r="23" ht="15.75" customHeight="1">
      <c r="A23" s="8">
        <f t="shared" si="1"/>
        <v>22</v>
      </c>
      <c r="B23" s="9" t="s">
        <v>8</v>
      </c>
      <c r="C23" s="9" t="s">
        <v>9</v>
      </c>
      <c r="D23" s="9" t="s">
        <v>38</v>
      </c>
      <c r="E23" s="9" t="s">
        <v>23</v>
      </c>
      <c r="F23" s="10">
        <v>45898.0</v>
      </c>
      <c r="G23" s="13">
        <v>45898.0</v>
      </c>
    </row>
    <row r="24" ht="15.75" customHeight="1">
      <c r="A24" s="12">
        <f t="shared" si="1"/>
        <v>23</v>
      </c>
      <c r="B24" s="5" t="s">
        <v>8</v>
      </c>
      <c r="C24" s="5" t="s">
        <v>9</v>
      </c>
      <c r="D24" s="5" t="s">
        <v>39</v>
      </c>
      <c r="E24" s="5" t="s">
        <v>21</v>
      </c>
      <c r="F24" s="6">
        <v>45898.0</v>
      </c>
      <c r="G24" s="7">
        <v>45898.0</v>
      </c>
    </row>
    <row r="25" ht="15.75" customHeight="1">
      <c r="A25" s="8">
        <f t="shared" si="1"/>
        <v>24</v>
      </c>
      <c r="B25" s="9" t="s">
        <v>8</v>
      </c>
      <c r="C25" s="9" t="s">
        <v>9</v>
      </c>
      <c r="D25" s="9" t="s">
        <v>40</v>
      </c>
      <c r="E25" s="9" t="s">
        <v>15</v>
      </c>
      <c r="F25" s="10">
        <v>45901.0</v>
      </c>
      <c r="G25" s="13">
        <v>45901.0</v>
      </c>
    </row>
    <row r="26" ht="15.75" customHeight="1">
      <c r="A26" s="12">
        <f t="shared" si="1"/>
        <v>25</v>
      </c>
      <c r="B26" s="5" t="s">
        <v>8</v>
      </c>
      <c r="C26" s="5" t="s">
        <v>9</v>
      </c>
      <c r="D26" s="5" t="s">
        <v>41</v>
      </c>
      <c r="E26" s="5">
        <v>10.0</v>
      </c>
      <c r="F26" s="6">
        <v>45901.0</v>
      </c>
      <c r="G26" s="7">
        <v>45912.0</v>
      </c>
    </row>
    <row r="27" ht="15.75" customHeight="1">
      <c r="A27" s="8">
        <f t="shared" si="1"/>
        <v>26</v>
      </c>
      <c r="B27" s="9"/>
      <c r="C27" s="9" t="s">
        <v>9</v>
      </c>
      <c r="D27" s="15" t="s">
        <v>42</v>
      </c>
      <c r="E27" s="9" t="s">
        <v>43</v>
      </c>
      <c r="F27" s="10">
        <v>45901.0</v>
      </c>
      <c r="G27" s="13">
        <v>45905.0</v>
      </c>
    </row>
    <row r="28" ht="15.75" customHeight="1">
      <c r="A28" s="12">
        <f t="shared" si="1"/>
        <v>27</v>
      </c>
      <c r="B28" s="5"/>
      <c r="C28" s="5" t="s">
        <v>9</v>
      </c>
      <c r="D28" s="16" t="s">
        <v>44</v>
      </c>
      <c r="E28" s="5" t="s">
        <v>43</v>
      </c>
      <c r="F28" s="6">
        <v>45908.0</v>
      </c>
      <c r="G28" s="7">
        <v>45912.0</v>
      </c>
    </row>
    <row r="29" ht="15.75" customHeight="1">
      <c r="A29" s="8">
        <f t="shared" si="1"/>
        <v>28</v>
      </c>
      <c r="B29" s="9" t="s">
        <v>8</v>
      </c>
      <c r="C29" s="9" t="s">
        <v>9</v>
      </c>
      <c r="D29" s="9" t="s">
        <v>45</v>
      </c>
      <c r="E29" s="9">
        <v>6.0</v>
      </c>
      <c r="F29" s="10">
        <v>45915.0</v>
      </c>
      <c r="G29" s="13">
        <v>45922.0</v>
      </c>
    </row>
    <row r="30" ht="15.75" customHeight="1">
      <c r="A30" s="12">
        <f t="shared" si="1"/>
        <v>29</v>
      </c>
      <c r="B30" s="5"/>
      <c r="C30" s="5" t="s">
        <v>9</v>
      </c>
      <c r="D30" s="5" t="s">
        <v>46</v>
      </c>
      <c r="E30" s="5" t="s">
        <v>15</v>
      </c>
      <c r="F30" s="6">
        <v>45915.0</v>
      </c>
      <c r="G30" s="7">
        <v>45915.0</v>
      </c>
    </row>
    <row r="31" ht="15.75" customHeight="1">
      <c r="A31" s="8">
        <f t="shared" si="1"/>
        <v>30</v>
      </c>
      <c r="B31" s="9"/>
      <c r="C31" s="9" t="s">
        <v>9</v>
      </c>
      <c r="D31" s="9" t="s">
        <v>47</v>
      </c>
      <c r="E31" s="9" t="s">
        <v>15</v>
      </c>
      <c r="F31" s="10">
        <v>45916.0</v>
      </c>
      <c r="G31" s="13">
        <v>45916.0</v>
      </c>
    </row>
    <row r="32" ht="15.75" customHeight="1">
      <c r="A32" s="12">
        <f t="shared" si="1"/>
        <v>31</v>
      </c>
      <c r="B32" s="5"/>
      <c r="C32" s="5" t="s">
        <v>9</v>
      </c>
      <c r="D32" s="5" t="s">
        <v>48</v>
      </c>
      <c r="E32" s="5" t="s">
        <v>49</v>
      </c>
      <c r="F32" s="6">
        <v>45917.0</v>
      </c>
      <c r="G32" s="7">
        <v>45922.0</v>
      </c>
    </row>
    <row r="33" ht="15.75" customHeight="1">
      <c r="A33" s="8">
        <f t="shared" si="1"/>
        <v>32</v>
      </c>
      <c r="B33" s="9" t="s">
        <v>8</v>
      </c>
      <c r="C33" s="9" t="s">
        <v>9</v>
      </c>
      <c r="D33" s="9" t="s">
        <v>50</v>
      </c>
      <c r="E33" s="9">
        <v>1.0</v>
      </c>
      <c r="F33" s="10">
        <v>45918.0</v>
      </c>
      <c r="G33" s="13">
        <v>45918.0</v>
      </c>
    </row>
    <row r="34" ht="15.75" customHeight="1">
      <c r="A34" s="12">
        <f t="shared" si="1"/>
        <v>33</v>
      </c>
      <c r="B34" s="5"/>
      <c r="C34" s="5" t="s">
        <v>9</v>
      </c>
      <c r="D34" s="5" t="s">
        <v>51</v>
      </c>
      <c r="E34" s="5" t="s">
        <v>15</v>
      </c>
      <c r="F34" s="6">
        <v>45918.0</v>
      </c>
      <c r="G34" s="7">
        <v>45918.0</v>
      </c>
    </row>
    <row r="35" ht="15.75" customHeight="1">
      <c r="A35" s="8">
        <f t="shared" si="1"/>
        <v>34</v>
      </c>
      <c r="B35" s="9"/>
      <c r="C35" s="9" t="s">
        <v>9</v>
      </c>
      <c r="D35" s="9" t="s">
        <v>52</v>
      </c>
      <c r="E35" s="9">
        <v>2.0</v>
      </c>
      <c r="F35" s="10">
        <v>45919.0</v>
      </c>
      <c r="G35" s="13">
        <v>45922.0</v>
      </c>
    </row>
    <row r="36" ht="15.75" customHeight="1">
      <c r="A36" s="12">
        <f t="shared" si="1"/>
        <v>35</v>
      </c>
      <c r="B36" s="5"/>
      <c r="C36" s="5" t="s">
        <v>9</v>
      </c>
      <c r="D36" s="5" t="s">
        <v>53</v>
      </c>
      <c r="E36" s="5" t="s">
        <v>15</v>
      </c>
      <c r="F36" s="6">
        <v>45919.0</v>
      </c>
      <c r="G36" s="7">
        <v>45919.0</v>
      </c>
    </row>
    <row r="37" ht="15.75" customHeight="1">
      <c r="A37" s="8">
        <f t="shared" si="1"/>
        <v>36</v>
      </c>
      <c r="B37" s="9"/>
      <c r="C37" s="9" t="s">
        <v>9</v>
      </c>
      <c r="D37" s="9" t="s">
        <v>54</v>
      </c>
      <c r="E37" s="9" t="s">
        <v>15</v>
      </c>
      <c r="F37" s="10">
        <v>45922.0</v>
      </c>
      <c r="G37" s="13">
        <v>45922.0</v>
      </c>
    </row>
    <row r="38" ht="15.75" customHeight="1">
      <c r="A38" s="12">
        <f t="shared" si="1"/>
        <v>37</v>
      </c>
      <c r="B38" s="5"/>
      <c r="C38" s="5" t="s">
        <v>9</v>
      </c>
      <c r="D38" s="5" t="s">
        <v>55</v>
      </c>
      <c r="E38" s="5">
        <v>20.0</v>
      </c>
      <c r="F38" s="6">
        <v>45923.0</v>
      </c>
      <c r="G38" s="7">
        <v>45950.0</v>
      </c>
    </row>
    <row r="39" ht="15.75" customHeight="1">
      <c r="A39" s="8">
        <f t="shared" ref="A39:A40" si="2">A37+1</f>
        <v>37</v>
      </c>
      <c r="B39" s="9"/>
      <c r="C39" s="9" t="s">
        <v>9</v>
      </c>
      <c r="D39" s="9" t="s">
        <v>56</v>
      </c>
      <c r="E39" s="9" t="s">
        <v>57</v>
      </c>
      <c r="F39" s="10">
        <v>45923.0</v>
      </c>
      <c r="G39" s="13">
        <v>45936.0</v>
      </c>
    </row>
    <row r="40" ht="15.75" customHeight="1">
      <c r="A40" s="12">
        <f t="shared" si="2"/>
        <v>38</v>
      </c>
      <c r="B40" s="5"/>
      <c r="C40" s="5" t="s">
        <v>9</v>
      </c>
      <c r="D40" s="5" t="s">
        <v>58</v>
      </c>
      <c r="E40" s="5" t="s">
        <v>59</v>
      </c>
      <c r="F40" s="6">
        <v>45937.0</v>
      </c>
      <c r="G40" s="7">
        <v>45950.0</v>
      </c>
    </row>
    <row r="41" ht="15.75" customHeight="1">
      <c r="A41" s="8">
        <f t="shared" ref="A41:A58" si="3">A40+1</f>
        <v>39</v>
      </c>
      <c r="B41" s="9"/>
      <c r="C41" s="9" t="s">
        <v>9</v>
      </c>
      <c r="D41" s="9" t="s">
        <v>60</v>
      </c>
      <c r="E41" s="9">
        <v>5.0</v>
      </c>
      <c r="F41" s="10">
        <v>45950.0</v>
      </c>
      <c r="G41" s="13">
        <v>45931.0</v>
      </c>
    </row>
    <row r="42" ht="15.75" customHeight="1">
      <c r="A42" s="12">
        <f t="shared" si="3"/>
        <v>40</v>
      </c>
      <c r="B42" s="5"/>
      <c r="C42" s="5" t="s">
        <v>9</v>
      </c>
      <c r="D42" s="5" t="s">
        <v>46</v>
      </c>
      <c r="E42" s="5" t="s">
        <v>15</v>
      </c>
      <c r="F42" s="6">
        <v>45929.0</v>
      </c>
      <c r="G42" s="7">
        <v>45929.0</v>
      </c>
    </row>
    <row r="43" ht="15.75" customHeight="1">
      <c r="A43" s="8">
        <f t="shared" si="3"/>
        <v>41</v>
      </c>
      <c r="B43" s="9"/>
      <c r="C43" s="9" t="s">
        <v>9</v>
      </c>
      <c r="D43" s="17" t="s">
        <v>47</v>
      </c>
      <c r="E43" s="9" t="s">
        <v>15</v>
      </c>
      <c r="F43" s="10">
        <v>45930.0</v>
      </c>
      <c r="G43" s="13">
        <v>45930.0</v>
      </c>
    </row>
    <row r="44" ht="15.75" customHeight="1">
      <c r="A44" s="12">
        <f t="shared" si="3"/>
        <v>42</v>
      </c>
      <c r="B44" s="5"/>
      <c r="C44" s="5" t="s">
        <v>9</v>
      </c>
      <c r="D44" s="18" t="s">
        <v>48</v>
      </c>
      <c r="E44" s="5" t="s">
        <v>61</v>
      </c>
      <c r="F44" s="6">
        <v>45931.0</v>
      </c>
      <c r="G44" s="7">
        <v>45937.0</v>
      </c>
    </row>
    <row r="45" ht="15.75" customHeight="1">
      <c r="A45" s="8">
        <f t="shared" si="3"/>
        <v>43</v>
      </c>
      <c r="B45" s="9"/>
      <c r="C45" s="9" t="s">
        <v>9</v>
      </c>
      <c r="D45" s="9" t="s">
        <v>62</v>
      </c>
      <c r="E45" s="9">
        <v>1.0</v>
      </c>
      <c r="F45" s="10">
        <v>45938.0</v>
      </c>
      <c r="G45" s="13">
        <v>45938.0</v>
      </c>
    </row>
    <row r="46" ht="15.75" customHeight="1">
      <c r="A46" s="12">
        <f t="shared" si="3"/>
        <v>44</v>
      </c>
      <c r="B46" s="5"/>
      <c r="C46" s="5" t="s">
        <v>9</v>
      </c>
      <c r="D46" s="5" t="s">
        <v>51</v>
      </c>
      <c r="E46" s="5" t="s">
        <v>15</v>
      </c>
      <c r="F46" s="6">
        <v>45938.0</v>
      </c>
      <c r="G46" s="7">
        <v>45938.0</v>
      </c>
    </row>
    <row r="47" ht="15.75" customHeight="1">
      <c r="A47" s="8">
        <f t="shared" si="3"/>
        <v>45</v>
      </c>
      <c r="B47" s="9"/>
      <c r="C47" s="9" t="s">
        <v>9</v>
      </c>
      <c r="D47" s="9" t="s">
        <v>63</v>
      </c>
      <c r="E47" s="9">
        <v>2.0</v>
      </c>
      <c r="F47" s="10">
        <v>45939.0</v>
      </c>
      <c r="G47" s="13">
        <v>45940.0</v>
      </c>
    </row>
    <row r="48">
      <c r="A48" s="12">
        <f t="shared" si="3"/>
        <v>46</v>
      </c>
      <c r="B48" s="5"/>
      <c r="C48" s="5" t="s">
        <v>9</v>
      </c>
      <c r="D48" s="5" t="s">
        <v>53</v>
      </c>
      <c r="E48" s="5" t="s">
        <v>15</v>
      </c>
      <c r="F48" s="6">
        <v>45939.0</v>
      </c>
      <c r="G48" s="7">
        <v>45939.0</v>
      </c>
    </row>
    <row r="49" ht="15.75" customHeight="1">
      <c r="A49" s="8">
        <f t="shared" si="3"/>
        <v>47</v>
      </c>
      <c r="B49" s="9"/>
      <c r="C49" s="9" t="s">
        <v>9</v>
      </c>
      <c r="D49" s="9" t="s">
        <v>54</v>
      </c>
      <c r="E49" s="9" t="s">
        <v>15</v>
      </c>
      <c r="F49" s="10">
        <v>45940.0</v>
      </c>
      <c r="G49" s="13">
        <v>45940.0</v>
      </c>
    </row>
    <row r="50" ht="15.75" customHeight="1">
      <c r="A50" s="12">
        <f t="shared" si="3"/>
        <v>48</v>
      </c>
      <c r="B50" s="5"/>
      <c r="C50" s="5" t="s">
        <v>9</v>
      </c>
      <c r="D50" s="5" t="s">
        <v>64</v>
      </c>
      <c r="E50" s="5">
        <v>2.0</v>
      </c>
      <c r="F50" s="6">
        <v>45943.0</v>
      </c>
      <c r="G50" s="7">
        <v>45936.0</v>
      </c>
    </row>
    <row r="51">
      <c r="A51" s="8">
        <f t="shared" si="3"/>
        <v>49</v>
      </c>
      <c r="B51" s="9"/>
      <c r="C51" s="9" t="s">
        <v>9</v>
      </c>
      <c r="D51" s="9" t="s">
        <v>65</v>
      </c>
      <c r="E51" s="9" t="s">
        <v>66</v>
      </c>
      <c r="F51" s="10">
        <v>45943.0</v>
      </c>
      <c r="G51" s="13">
        <v>45954.0</v>
      </c>
    </row>
    <row r="52" ht="15.75" customHeight="1">
      <c r="A52" s="12">
        <f t="shared" si="3"/>
        <v>50</v>
      </c>
      <c r="B52" s="5"/>
      <c r="C52" s="5" t="s">
        <v>9</v>
      </c>
      <c r="D52" s="5" t="s">
        <v>67</v>
      </c>
      <c r="E52" s="5" t="s">
        <v>66</v>
      </c>
      <c r="F52" s="6">
        <v>45957.0</v>
      </c>
      <c r="G52" s="7">
        <v>45968.0</v>
      </c>
    </row>
    <row r="53" ht="15.75" customHeight="1">
      <c r="A53" s="8">
        <f t="shared" si="3"/>
        <v>51</v>
      </c>
      <c r="B53" s="19"/>
      <c r="C53" s="20" t="s">
        <v>9</v>
      </c>
      <c r="D53" s="21" t="s">
        <v>68</v>
      </c>
      <c r="E53" s="21" t="s">
        <v>69</v>
      </c>
      <c r="F53" s="10">
        <v>45968.0</v>
      </c>
      <c r="G53" s="13">
        <v>45995.0</v>
      </c>
    </row>
    <row r="54" ht="15.75" customHeight="1">
      <c r="A54" s="12">
        <f t="shared" si="3"/>
        <v>52</v>
      </c>
      <c r="B54" s="5"/>
      <c r="C54" s="5" t="s">
        <v>9</v>
      </c>
      <c r="D54" s="5" t="s">
        <v>70</v>
      </c>
      <c r="E54" s="5">
        <v>3.0</v>
      </c>
      <c r="F54" s="6">
        <v>45995.0</v>
      </c>
      <c r="G54" s="7">
        <v>45985.0</v>
      </c>
    </row>
    <row r="55" ht="15.75" customHeight="1">
      <c r="A55" s="8">
        <f t="shared" si="3"/>
        <v>53</v>
      </c>
      <c r="B55" s="9"/>
      <c r="C55" s="9" t="s">
        <v>9</v>
      </c>
      <c r="D55" s="9" t="s">
        <v>46</v>
      </c>
      <c r="E55" s="9" t="s">
        <v>15</v>
      </c>
      <c r="F55" s="10">
        <v>45995.0</v>
      </c>
      <c r="G55" s="13">
        <v>45995.0</v>
      </c>
    </row>
    <row r="56" ht="15.75" customHeight="1">
      <c r="A56" s="12">
        <f t="shared" si="3"/>
        <v>54</v>
      </c>
      <c r="B56" s="5"/>
      <c r="C56" s="5" t="s">
        <v>9</v>
      </c>
      <c r="D56" s="17" t="s">
        <v>47</v>
      </c>
      <c r="E56" s="5" t="s">
        <v>15</v>
      </c>
      <c r="F56" s="6">
        <v>45996.0</v>
      </c>
      <c r="G56" s="7">
        <v>45996.0</v>
      </c>
    </row>
    <row r="57" ht="15.75" customHeight="1">
      <c r="A57" s="8">
        <f t="shared" si="3"/>
        <v>55</v>
      </c>
      <c r="B57" s="9"/>
      <c r="C57" s="9" t="s">
        <v>9</v>
      </c>
      <c r="D57" s="18" t="s">
        <v>48</v>
      </c>
      <c r="E57" s="9" t="s">
        <v>61</v>
      </c>
      <c r="F57" s="10">
        <v>45999.0</v>
      </c>
      <c r="G57" s="13">
        <v>46003.0</v>
      </c>
    </row>
    <row r="58" ht="24.75" customHeight="1">
      <c r="A58" s="12">
        <f t="shared" si="3"/>
        <v>56</v>
      </c>
      <c r="B58" s="5"/>
      <c r="C58" s="5" t="s">
        <v>9</v>
      </c>
      <c r="D58" s="18" t="s">
        <v>71</v>
      </c>
      <c r="E58" s="5" t="s">
        <v>72</v>
      </c>
      <c r="F58" s="6">
        <v>46000.0</v>
      </c>
      <c r="G58" s="7">
        <v>46001.0</v>
      </c>
    </row>
    <row r="59" ht="15.75" customHeight="1">
      <c r="A59" s="8">
        <f>A57+1</f>
        <v>56</v>
      </c>
      <c r="B59" s="9"/>
      <c r="C59" s="9" t="s">
        <v>9</v>
      </c>
      <c r="D59" s="9" t="s">
        <v>73</v>
      </c>
      <c r="E59" s="9">
        <v>1.0</v>
      </c>
      <c r="F59" s="10">
        <v>46002.0</v>
      </c>
      <c r="G59" s="13">
        <v>46002.0</v>
      </c>
    </row>
    <row r="60" ht="15.75" customHeight="1">
      <c r="A60" s="22">
        <f>A59+1</f>
        <v>57</v>
      </c>
      <c r="B60" s="23"/>
      <c r="C60" s="23" t="s">
        <v>9</v>
      </c>
      <c r="D60" s="23" t="s">
        <v>74</v>
      </c>
      <c r="E60" s="23" t="s">
        <v>15</v>
      </c>
      <c r="F60" s="24">
        <v>46002.0</v>
      </c>
      <c r="G60" s="25">
        <v>46002.0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60">
      <formula1>"Yes,No"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2" width="8.0"/>
    <col customWidth="1" min="3" max="3" width="30.0"/>
    <col customWidth="1" min="4" max="4" width="10.0"/>
    <col customWidth="1" min="5" max="5" width="12.0"/>
    <col customWidth="1" min="6" max="7" width="10.0"/>
    <col customWidth="1" min="8" max="8" width="11.0"/>
    <col customWidth="1" min="9" max="12" width="10.0"/>
    <col customWidth="1" min="13" max="13" width="16.0"/>
    <col customWidth="1" min="14" max="14" width="12.0"/>
  </cols>
  <sheetData>
    <row r="1">
      <c r="A1" s="26" t="s">
        <v>75</v>
      </c>
      <c r="B1" s="26" t="s">
        <v>76</v>
      </c>
      <c r="C1" s="26" t="s">
        <v>77</v>
      </c>
      <c r="D1" s="26" t="s">
        <v>78</v>
      </c>
      <c r="E1" s="26" t="s">
        <v>79</v>
      </c>
      <c r="F1" s="26" t="s">
        <v>80</v>
      </c>
      <c r="G1" s="26" t="s">
        <v>81</v>
      </c>
      <c r="H1" s="26" t="s">
        <v>82</v>
      </c>
      <c r="I1" s="26" t="s">
        <v>83</v>
      </c>
      <c r="J1" s="26" t="s">
        <v>84</v>
      </c>
      <c r="K1" s="26" t="s">
        <v>85</v>
      </c>
      <c r="L1" s="26" t="s">
        <v>86</v>
      </c>
      <c r="M1" s="26" t="s">
        <v>87</v>
      </c>
      <c r="N1" s="26" t="s">
        <v>88</v>
      </c>
    </row>
    <row r="2">
      <c r="A2" s="27" t="s">
        <v>8</v>
      </c>
      <c r="B2" s="27" t="s">
        <v>8</v>
      </c>
      <c r="C2" s="27" t="s">
        <v>8</v>
      </c>
      <c r="D2" s="27" t="s">
        <v>8</v>
      </c>
      <c r="E2" s="27" t="s">
        <v>8</v>
      </c>
      <c r="F2" s="27" t="s">
        <v>8</v>
      </c>
      <c r="G2" s="27" t="s">
        <v>8</v>
      </c>
      <c r="H2" s="27" t="s">
        <v>8</v>
      </c>
      <c r="I2" s="27" t="s">
        <v>8</v>
      </c>
      <c r="J2" s="27" t="s">
        <v>8</v>
      </c>
      <c r="K2" s="27" t="s">
        <v>8</v>
      </c>
      <c r="L2" s="27" t="s">
        <v>8</v>
      </c>
      <c r="M2" s="27" t="s">
        <v>8</v>
      </c>
      <c r="N2" s="27" t="s">
        <v>8</v>
      </c>
    </row>
    <row r="3">
      <c r="A3" s="27" t="s">
        <v>7</v>
      </c>
      <c r="B3" s="27" t="s">
        <v>8</v>
      </c>
      <c r="C3" s="27" t="s">
        <v>89</v>
      </c>
      <c r="D3" s="27" t="s">
        <v>90</v>
      </c>
      <c r="E3" s="27" t="s">
        <v>8</v>
      </c>
      <c r="F3" s="27" t="s">
        <v>91</v>
      </c>
      <c r="G3" s="27" t="s">
        <v>8</v>
      </c>
      <c r="H3" s="27" t="s">
        <v>92</v>
      </c>
      <c r="I3" s="27" t="s">
        <v>93</v>
      </c>
      <c r="J3" s="27" t="s">
        <v>94</v>
      </c>
      <c r="K3" s="27" t="s">
        <v>95</v>
      </c>
      <c r="L3" s="27" t="s">
        <v>96</v>
      </c>
      <c r="M3" s="27" t="s">
        <v>97</v>
      </c>
      <c r="N3" s="27" t="s">
        <v>8</v>
      </c>
    </row>
    <row r="4">
      <c r="A4" s="27" t="s">
        <v>98</v>
      </c>
      <c r="B4" s="27" t="s">
        <v>8</v>
      </c>
      <c r="C4" s="27" t="s">
        <v>99</v>
      </c>
      <c r="D4" s="27" t="s">
        <v>90</v>
      </c>
      <c r="E4" s="27" t="s">
        <v>8</v>
      </c>
      <c r="F4" s="27" t="s">
        <v>100</v>
      </c>
      <c r="G4" s="27" t="s">
        <v>8</v>
      </c>
      <c r="H4" s="27" t="s">
        <v>92</v>
      </c>
      <c r="I4" s="27" t="s">
        <v>101</v>
      </c>
      <c r="J4" s="27" t="s">
        <v>94</v>
      </c>
      <c r="K4" s="27" t="s">
        <v>95</v>
      </c>
      <c r="L4" s="27" t="s">
        <v>96</v>
      </c>
      <c r="M4" s="27" t="s">
        <v>97</v>
      </c>
      <c r="N4" s="27" t="s">
        <v>8</v>
      </c>
    </row>
    <row r="5">
      <c r="A5" s="27" t="s">
        <v>102</v>
      </c>
      <c r="B5" s="27" t="s">
        <v>8</v>
      </c>
      <c r="C5" s="27" t="s">
        <v>103</v>
      </c>
      <c r="D5" s="27" t="s">
        <v>90</v>
      </c>
      <c r="E5" s="27" t="s">
        <v>8</v>
      </c>
      <c r="F5" s="27" t="s">
        <v>104</v>
      </c>
      <c r="G5" s="27" t="s">
        <v>8</v>
      </c>
      <c r="H5" s="27" t="s">
        <v>92</v>
      </c>
      <c r="I5" s="27" t="s">
        <v>105</v>
      </c>
      <c r="J5" s="27" t="s">
        <v>94</v>
      </c>
      <c r="K5" s="27" t="s">
        <v>95</v>
      </c>
      <c r="L5" s="27" t="s">
        <v>96</v>
      </c>
      <c r="M5" s="27" t="s">
        <v>97</v>
      </c>
      <c r="N5" s="27" t="s">
        <v>8</v>
      </c>
    </row>
    <row r="6">
      <c r="A6" s="27" t="s">
        <v>106</v>
      </c>
      <c r="B6" s="27" t="s">
        <v>8</v>
      </c>
      <c r="C6" s="27" t="s">
        <v>107</v>
      </c>
      <c r="D6" s="27" t="s">
        <v>90</v>
      </c>
      <c r="E6" s="27" t="s">
        <v>8</v>
      </c>
      <c r="F6" s="27" t="s">
        <v>108</v>
      </c>
      <c r="G6" s="27" t="s">
        <v>8</v>
      </c>
      <c r="H6" s="27" t="s">
        <v>92</v>
      </c>
      <c r="I6" s="27" t="s">
        <v>109</v>
      </c>
      <c r="J6" s="27" t="s">
        <v>94</v>
      </c>
      <c r="K6" s="27" t="s">
        <v>95</v>
      </c>
      <c r="L6" s="27" t="s">
        <v>96</v>
      </c>
      <c r="M6" s="27" t="s">
        <v>97</v>
      </c>
      <c r="N6" s="27" t="s">
        <v>8</v>
      </c>
    </row>
    <row r="7">
      <c r="A7" s="27" t="s">
        <v>110</v>
      </c>
      <c r="B7" s="27" t="s">
        <v>8</v>
      </c>
      <c r="C7" s="27" t="s">
        <v>111</v>
      </c>
      <c r="D7" s="27" t="s">
        <v>90</v>
      </c>
      <c r="E7" s="27" t="s">
        <v>8</v>
      </c>
      <c r="F7" s="27" t="s">
        <v>112</v>
      </c>
      <c r="G7" s="27" t="s">
        <v>8</v>
      </c>
      <c r="H7" s="27" t="s">
        <v>92</v>
      </c>
      <c r="I7" s="27" t="s">
        <v>113</v>
      </c>
      <c r="J7" s="27" t="s">
        <v>94</v>
      </c>
      <c r="K7" s="27" t="s">
        <v>95</v>
      </c>
      <c r="L7" s="27" t="s">
        <v>96</v>
      </c>
      <c r="M7" s="27" t="s">
        <v>97</v>
      </c>
      <c r="N7" s="27" t="s">
        <v>8</v>
      </c>
    </row>
    <row r="8">
      <c r="A8" s="27" t="s">
        <v>114</v>
      </c>
      <c r="B8" s="27" t="s">
        <v>8</v>
      </c>
      <c r="C8" s="27" t="s">
        <v>115</v>
      </c>
      <c r="D8" s="27" t="s">
        <v>90</v>
      </c>
      <c r="E8" s="27" t="s">
        <v>8</v>
      </c>
      <c r="F8" s="27" t="s">
        <v>116</v>
      </c>
      <c r="G8" s="27" t="s">
        <v>8</v>
      </c>
      <c r="H8" s="27" t="s">
        <v>92</v>
      </c>
      <c r="I8" s="27" t="s">
        <v>105</v>
      </c>
      <c r="J8" s="27" t="s">
        <v>94</v>
      </c>
      <c r="K8" s="27" t="s">
        <v>95</v>
      </c>
      <c r="L8" s="27" t="s">
        <v>96</v>
      </c>
      <c r="M8" s="27" t="s">
        <v>97</v>
      </c>
      <c r="N8" s="27" t="s">
        <v>8</v>
      </c>
    </row>
    <row r="9">
      <c r="A9" s="27" t="s">
        <v>117</v>
      </c>
      <c r="B9" s="27" t="s">
        <v>8</v>
      </c>
      <c r="C9" s="27" t="s">
        <v>118</v>
      </c>
      <c r="D9" s="27" t="s">
        <v>90</v>
      </c>
      <c r="E9" s="27" t="s">
        <v>8</v>
      </c>
      <c r="F9" s="27" t="s">
        <v>119</v>
      </c>
      <c r="G9" s="27" t="s">
        <v>8</v>
      </c>
      <c r="H9" s="27" t="s">
        <v>92</v>
      </c>
      <c r="I9" s="27" t="s">
        <v>109</v>
      </c>
      <c r="J9" s="27" t="s">
        <v>94</v>
      </c>
      <c r="K9" s="27" t="s">
        <v>95</v>
      </c>
      <c r="L9" s="27" t="s">
        <v>96</v>
      </c>
      <c r="M9" s="27" t="s">
        <v>97</v>
      </c>
      <c r="N9" s="27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3" width="20.0"/>
    <col customWidth="1" min="4" max="4" width="10.0"/>
    <col customWidth="1" min="5" max="5" width="15.0"/>
  </cols>
  <sheetData>
    <row r="1">
      <c r="A1" s="26" t="s">
        <v>75</v>
      </c>
      <c r="B1" s="26" t="s">
        <v>120</v>
      </c>
      <c r="C1" s="26" t="s">
        <v>77</v>
      </c>
      <c r="D1" s="26" t="s">
        <v>121</v>
      </c>
      <c r="E1" s="26" t="s">
        <v>122</v>
      </c>
    </row>
    <row r="2">
      <c r="A2" s="27" t="s">
        <v>102</v>
      </c>
      <c r="B2" s="27" t="s">
        <v>123</v>
      </c>
      <c r="C2" s="27" t="s">
        <v>99</v>
      </c>
      <c r="D2" s="27" t="s">
        <v>124</v>
      </c>
      <c r="E2" s="27" t="s">
        <v>125</v>
      </c>
    </row>
    <row r="3">
      <c r="A3" s="27" t="s">
        <v>106</v>
      </c>
      <c r="B3" s="27" t="s">
        <v>126</v>
      </c>
      <c r="C3" s="27" t="s">
        <v>89</v>
      </c>
      <c r="D3" s="27" t="s">
        <v>127</v>
      </c>
      <c r="E3" s="27" t="s">
        <v>128</v>
      </c>
    </row>
    <row r="4">
      <c r="A4" s="27" t="s">
        <v>110</v>
      </c>
      <c r="B4" s="27" t="s">
        <v>129</v>
      </c>
      <c r="C4" s="27" t="s">
        <v>99</v>
      </c>
      <c r="D4" s="27" t="s">
        <v>130</v>
      </c>
      <c r="E4" s="27" t="s">
        <v>131</v>
      </c>
    </row>
    <row r="5">
      <c r="A5" s="27" t="s">
        <v>114</v>
      </c>
      <c r="B5" s="27" t="s">
        <v>132</v>
      </c>
      <c r="C5" s="27" t="s">
        <v>89</v>
      </c>
      <c r="D5" s="27" t="s">
        <v>133</v>
      </c>
      <c r="E5" s="27" t="s">
        <v>134</v>
      </c>
    </row>
    <row r="6">
      <c r="A6" s="27" t="s">
        <v>117</v>
      </c>
      <c r="B6" s="27" t="s">
        <v>135</v>
      </c>
      <c r="C6" s="27" t="s">
        <v>99</v>
      </c>
      <c r="D6" s="27" t="s">
        <v>136</v>
      </c>
      <c r="E6" s="27" t="s">
        <v>137</v>
      </c>
    </row>
    <row r="7">
      <c r="A7" s="27" t="s">
        <v>138</v>
      </c>
      <c r="B7" s="27" t="s">
        <v>139</v>
      </c>
      <c r="C7" s="27" t="s">
        <v>99</v>
      </c>
      <c r="D7" s="27" t="s">
        <v>140</v>
      </c>
      <c r="E7" s="27" t="s">
        <v>131</v>
      </c>
    </row>
    <row r="8">
      <c r="A8" s="27" t="s">
        <v>141</v>
      </c>
      <c r="B8" s="27" t="s">
        <v>142</v>
      </c>
      <c r="C8" s="27" t="s">
        <v>99</v>
      </c>
      <c r="D8" s="27" t="s">
        <v>143</v>
      </c>
      <c r="E8" s="27" t="s">
        <v>144</v>
      </c>
    </row>
    <row r="9">
      <c r="A9" s="27" t="s">
        <v>145</v>
      </c>
      <c r="B9" s="27" t="s">
        <v>146</v>
      </c>
      <c r="C9" s="27" t="s">
        <v>89</v>
      </c>
      <c r="D9" s="27" t="s">
        <v>147</v>
      </c>
      <c r="E9" s="27" t="s">
        <v>144</v>
      </c>
    </row>
    <row r="10">
      <c r="A10" s="27" t="s">
        <v>148</v>
      </c>
      <c r="B10" s="27" t="s">
        <v>149</v>
      </c>
      <c r="C10" s="27" t="s">
        <v>99</v>
      </c>
      <c r="D10" s="27" t="s">
        <v>127</v>
      </c>
      <c r="E10" s="27" t="s">
        <v>128</v>
      </c>
    </row>
    <row r="11">
      <c r="A11" s="27" t="s">
        <v>150</v>
      </c>
      <c r="B11" s="27" t="s">
        <v>151</v>
      </c>
      <c r="C11" s="27" t="s">
        <v>99</v>
      </c>
      <c r="D11" s="27" t="s">
        <v>152</v>
      </c>
      <c r="E11" s="27" t="s">
        <v>153</v>
      </c>
    </row>
    <row r="12">
      <c r="A12" s="27" t="s">
        <v>154</v>
      </c>
      <c r="B12" s="27" t="s">
        <v>155</v>
      </c>
      <c r="C12" s="27" t="s">
        <v>99</v>
      </c>
      <c r="D12" s="27" t="s">
        <v>156</v>
      </c>
      <c r="E12" s="27" t="s">
        <v>157</v>
      </c>
    </row>
    <row r="13">
      <c r="A13" s="27" t="s">
        <v>158</v>
      </c>
      <c r="B13" s="27" t="s">
        <v>159</v>
      </c>
      <c r="C13" s="27" t="s">
        <v>99</v>
      </c>
      <c r="D13" s="27" t="s">
        <v>147</v>
      </c>
      <c r="E13" s="27" t="s">
        <v>144</v>
      </c>
    </row>
    <row r="14">
      <c r="A14" s="27" t="s">
        <v>160</v>
      </c>
      <c r="B14" s="27" t="s">
        <v>161</v>
      </c>
      <c r="C14" s="27" t="s">
        <v>111</v>
      </c>
      <c r="D14" s="27" t="s">
        <v>162</v>
      </c>
      <c r="E14" s="27" t="s">
        <v>134</v>
      </c>
    </row>
    <row r="15">
      <c r="A15" s="27" t="s">
        <v>163</v>
      </c>
      <c r="B15" s="27" t="s">
        <v>164</v>
      </c>
      <c r="C15" s="27" t="s">
        <v>107</v>
      </c>
      <c r="D15" s="27" t="s">
        <v>165</v>
      </c>
      <c r="E15" s="27" t="s">
        <v>157</v>
      </c>
    </row>
    <row r="16">
      <c r="A16" s="27" t="s">
        <v>166</v>
      </c>
      <c r="B16" s="27" t="s">
        <v>167</v>
      </c>
      <c r="C16" s="27" t="s">
        <v>99</v>
      </c>
      <c r="D16" s="27" t="s">
        <v>168</v>
      </c>
      <c r="E16" s="27" t="s">
        <v>157</v>
      </c>
    </row>
    <row r="17">
      <c r="A17" s="27" t="s">
        <v>169</v>
      </c>
      <c r="B17" s="27" t="s">
        <v>170</v>
      </c>
      <c r="C17" s="27" t="s">
        <v>89</v>
      </c>
      <c r="D17" s="27" t="s">
        <v>171</v>
      </c>
      <c r="E17" s="27" t="s">
        <v>125</v>
      </c>
    </row>
    <row r="18">
      <c r="A18" s="27" t="s">
        <v>172</v>
      </c>
      <c r="B18" s="27" t="s">
        <v>173</v>
      </c>
      <c r="C18" s="27" t="s">
        <v>89</v>
      </c>
      <c r="D18" s="27" t="s">
        <v>127</v>
      </c>
      <c r="E18" s="27" t="s">
        <v>153</v>
      </c>
    </row>
    <row r="19">
      <c r="A19" s="27" t="s">
        <v>174</v>
      </c>
      <c r="B19" s="27" t="s">
        <v>175</v>
      </c>
      <c r="C19" s="27" t="s">
        <v>89</v>
      </c>
      <c r="D19" s="27" t="s">
        <v>147</v>
      </c>
      <c r="E19" s="27" t="s">
        <v>128</v>
      </c>
    </row>
    <row r="20">
      <c r="A20" s="27" t="s">
        <v>176</v>
      </c>
      <c r="B20" s="27" t="s">
        <v>177</v>
      </c>
      <c r="C20" s="27" t="s">
        <v>118</v>
      </c>
      <c r="D20" s="27" t="s">
        <v>178</v>
      </c>
      <c r="E20" s="27" t="s">
        <v>144</v>
      </c>
    </row>
    <row r="21" ht="15.75" customHeight="1">
      <c r="A21" s="27" t="s">
        <v>179</v>
      </c>
      <c r="B21" s="27" t="s">
        <v>180</v>
      </c>
      <c r="C21" s="27" t="s">
        <v>115</v>
      </c>
      <c r="D21" s="27" t="s">
        <v>140</v>
      </c>
      <c r="E21" s="27" t="s">
        <v>144</v>
      </c>
    </row>
    <row r="22" ht="15.75" customHeight="1">
      <c r="A22" s="27" t="s">
        <v>181</v>
      </c>
      <c r="B22" s="27" t="s">
        <v>182</v>
      </c>
      <c r="C22" s="27" t="s">
        <v>99</v>
      </c>
      <c r="D22" s="27" t="s">
        <v>178</v>
      </c>
      <c r="E22" s="27" t="s">
        <v>131</v>
      </c>
    </row>
    <row r="23" ht="15.75" customHeight="1">
      <c r="A23" s="27" t="s">
        <v>183</v>
      </c>
      <c r="B23" s="27" t="s">
        <v>184</v>
      </c>
      <c r="C23" s="27" t="s">
        <v>99</v>
      </c>
      <c r="D23" s="27" t="s">
        <v>185</v>
      </c>
      <c r="E23" s="27" t="s">
        <v>131</v>
      </c>
    </row>
    <row r="24" ht="15.75" customHeight="1">
      <c r="A24" s="27" t="s">
        <v>186</v>
      </c>
      <c r="B24" s="27" t="s">
        <v>187</v>
      </c>
      <c r="C24" s="27" t="s">
        <v>99</v>
      </c>
      <c r="D24" s="27" t="s">
        <v>130</v>
      </c>
      <c r="E24" s="27" t="s">
        <v>131</v>
      </c>
    </row>
    <row r="25" ht="15.75" customHeight="1">
      <c r="A25" s="27" t="s">
        <v>188</v>
      </c>
      <c r="B25" s="27" t="s">
        <v>189</v>
      </c>
      <c r="C25" s="27" t="s">
        <v>99</v>
      </c>
      <c r="D25" s="27" t="s">
        <v>147</v>
      </c>
      <c r="E25" s="27" t="s">
        <v>144</v>
      </c>
    </row>
    <row r="26" ht="15.75" customHeight="1">
      <c r="A26" s="27" t="s">
        <v>190</v>
      </c>
      <c r="B26" s="27" t="s">
        <v>191</v>
      </c>
      <c r="C26" s="27" t="s">
        <v>99</v>
      </c>
      <c r="D26" s="27" t="s">
        <v>192</v>
      </c>
      <c r="E26" s="27" t="s">
        <v>144</v>
      </c>
    </row>
    <row r="27" ht="15.75" customHeight="1">
      <c r="A27" s="27" t="s">
        <v>193</v>
      </c>
      <c r="B27" s="27" t="s">
        <v>194</v>
      </c>
      <c r="C27" s="27" t="s">
        <v>99</v>
      </c>
      <c r="D27" s="27" t="s">
        <v>192</v>
      </c>
      <c r="E27" s="27" t="s">
        <v>144</v>
      </c>
    </row>
    <row r="28" ht="15.75" customHeight="1">
      <c r="A28" s="27" t="s">
        <v>195</v>
      </c>
      <c r="B28" s="27" t="s">
        <v>196</v>
      </c>
      <c r="C28" s="27" t="s">
        <v>99</v>
      </c>
      <c r="D28" s="27" t="s">
        <v>147</v>
      </c>
      <c r="E28" s="27" t="s">
        <v>144</v>
      </c>
    </row>
    <row r="29" ht="15.75" customHeight="1">
      <c r="A29" s="27" t="s">
        <v>197</v>
      </c>
      <c r="B29" s="27" t="s">
        <v>198</v>
      </c>
      <c r="C29" s="27" t="s">
        <v>99</v>
      </c>
      <c r="D29" s="27" t="s">
        <v>199</v>
      </c>
      <c r="E29" s="27" t="s">
        <v>144</v>
      </c>
    </row>
    <row r="30" ht="15.75" customHeight="1">
      <c r="A30" s="27" t="s">
        <v>200</v>
      </c>
      <c r="B30" s="27" t="s">
        <v>201</v>
      </c>
      <c r="C30" s="27" t="s">
        <v>99</v>
      </c>
      <c r="D30" s="27" t="s">
        <v>147</v>
      </c>
      <c r="E30" s="27" t="s">
        <v>144</v>
      </c>
    </row>
    <row r="31" ht="15.75" customHeight="1">
      <c r="A31" s="27" t="s">
        <v>202</v>
      </c>
      <c r="B31" s="27" t="s">
        <v>123</v>
      </c>
      <c r="C31" s="27" t="s">
        <v>89</v>
      </c>
      <c r="D31" s="27" t="s">
        <v>203</v>
      </c>
      <c r="E31" s="27" t="s">
        <v>125</v>
      </c>
    </row>
    <row r="32" ht="15.75" customHeight="1">
      <c r="A32" s="27" t="s">
        <v>204</v>
      </c>
      <c r="B32" s="27" t="s">
        <v>132</v>
      </c>
      <c r="C32" s="27" t="s">
        <v>99</v>
      </c>
      <c r="D32" s="27" t="s">
        <v>133</v>
      </c>
      <c r="E32" s="27" t="s">
        <v>134</v>
      </c>
    </row>
    <row r="33" ht="15.75" customHeight="1">
      <c r="A33" s="27" t="s">
        <v>205</v>
      </c>
      <c r="B33" s="27" t="s">
        <v>159</v>
      </c>
      <c r="C33" s="27" t="s">
        <v>89</v>
      </c>
      <c r="D33" s="27" t="s">
        <v>147</v>
      </c>
      <c r="E33" s="27" t="s">
        <v>144</v>
      </c>
    </row>
    <row r="34" ht="15.75" customHeight="1">
      <c r="A34" s="27" t="s">
        <v>206</v>
      </c>
      <c r="B34" s="27" t="s">
        <v>146</v>
      </c>
      <c r="C34" s="27" t="s">
        <v>103</v>
      </c>
      <c r="D34" s="27" t="s">
        <v>207</v>
      </c>
      <c r="E34" s="27" t="s">
        <v>144</v>
      </c>
    </row>
    <row r="35" ht="15.75" customHeight="1">
      <c r="A35" s="27" t="s">
        <v>208</v>
      </c>
      <c r="B35" s="27" t="s">
        <v>129</v>
      </c>
      <c r="C35" s="27" t="s">
        <v>89</v>
      </c>
      <c r="D35" s="27" t="s">
        <v>140</v>
      </c>
      <c r="E35" s="27" t="s">
        <v>131</v>
      </c>
    </row>
    <row r="36" ht="15.75" customHeight="1">
      <c r="A36" s="27" t="s">
        <v>209</v>
      </c>
      <c r="B36" s="27" t="s">
        <v>142</v>
      </c>
      <c r="C36" s="27" t="s">
        <v>89</v>
      </c>
      <c r="D36" s="27" t="s">
        <v>147</v>
      </c>
      <c r="E36" s="27" t="s">
        <v>144</v>
      </c>
    </row>
    <row r="37" ht="15.75" customHeight="1">
      <c r="A37" s="27" t="s">
        <v>210</v>
      </c>
      <c r="B37" s="27" t="s">
        <v>135</v>
      </c>
      <c r="C37" s="27" t="s">
        <v>107</v>
      </c>
      <c r="D37" s="27" t="s">
        <v>211</v>
      </c>
      <c r="E37" s="27" t="s">
        <v>137</v>
      </c>
    </row>
    <row r="38" ht="15.75" customHeight="1">
      <c r="A38" s="27" t="s">
        <v>212</v>
      </c>
      <c r="B38" s="27" t="s">
        <v>139</v>
      </c>
      <c r="C38" s="27" t="s">
        <v>89</v>
      </c>
      <c r="D38" s="27" t="s">
        <v>140</v>
      </c>
      <c r="E38" s="27" t="s">
        <v>131</v>
      </c>
    </row>
    <row r="39" ht="15.75" customHeight="1">
      <c r="A39" s="27" t="s">
        <v>213</v>
      </c>
      <c r="B39" s="27" t="s">
        <v>155</v>
      </c>
      <c r="C39" s="27" t="s">
        <v>107</v>
      </c>
      <c r="D39" s="27" t="s">
        <v>214</v>
      </c>
      <c r="E39" s="27" t="s">
        <v>157</v>
      </c>
    </row>
    <row r="40" ht="15.75" customHeight="1">
      <c r="A40" s="27" t="s">
        <v>215</v>
      </c>
      <c r="B40" s="27" t="s">
        <v>194</v>
      </c>
      <c r="C40" s="27" t="s">
        <v>107</v>
      </c>
      <c r="D40" s="27" t="s">
        <v>216</v>
      </c>
      <c r="E40" s="27" t="s">
        <v>144</v>
      </c>
    </row>
    <row r="41" ht="15.75" customHeight="1">
      <c r="A41" s="27" t="s">
        <v>217</v>
      </c>
      <c r="B41" s="27" t="s">
        <v>182</v>
      </c>
      <c r="C41" s="27" t="s">
        <v>107</v>
      </c>
      <c r="D41" s="27" t="s">
        <v>218</v>
      </c>
      <c r="E41" s="27" t="s">
        <v>131</v>
      </c>
    </row>
    <row r="42" ht="15.75" customHeight="1">
      <c r="A42" s="27" t="s">
        <v>219</v>
      </c>
      <c r="B42" s="27" t="s">
        <v>167</v>
      </c>
      <c r="C42" s="27" t="s">
        <v>107</v>
      </c>
      <c r="D42" s="27" t="s">
        <v>220</v>
      </c>
      <c r="E42" s="27" t="s">
        <v>157</v>
      </c>
    </row>
    <row r="43" ht="15.75" customHeight="1">
      <c r="A43" s="27" t="s">
        <v>221</v>
      </c>
      <c r="B43" s="27" t="s">
        <v>167</v>
      </c>
      <c r="C43" s="27" t="s">
        <v>111</v>
      </c>
      <c r="D43" s="27" t="s">
        <v>156</v>
      </c>
      <c r="E43" s="27" t="s">
        <v>157</v>
      </c>
    </row>
    <row r="44" ht="15.75" customHeight="1">
      <c r="A44" s="27" t="s">
        <v>222</v>
      </c>
      <c r="B44" s="27" t="s">
        <v>187</v>
      </c>
      <c r="C44" s="27" t="s">
        <v>107</v>
      </c>
      <c r="D44" s="27" t="s">
        <v>223</v>
      </c>
      <c r="E44" s="27" t="s">
        <v>131</v>
      </c>
    </row>
    <row r="45" ht="15.75" customHeight="1">
      <c r="A45" s="27" t="s">
        <v>224</v>
      </c>
      <c r="B45" s="27" t="s">
        <v>225</v>
      </c>
      <c r="C45" s="27" t="s">
        <v>103</v>
      </c>
      <c r="D45" s="27" t="s">
        <v>178</v>
      </c>
      <c r="E45" s="27" t="s">
        <v>131</v>
      </c>
    </row>
    <row r="46" ht="15.75" customHeight="1">
      <c r="A46" s="27" t="s">
        <v>226</v>
      </c>
      <c r="B46" s="27" t="s">
        <v>184</v>
      </c>
      <c r="C46" s="27" t="s">
        <v>107</v>
      </c>
      <c r="D46" s="27" t="s">
        <v>178</v>
      </c>
      <c r="E46" s="27" t="s">
        <v>131</v>
      </c>
    </row>
    <row r="47" ht="15.75" customHeight="1">
      <c r="A47" s="27" t="s">
        <v>227</v>
      </c>
      <c r="B47" s="27" t="s">
        <v>201</v>
      </c>
      <c r="C47" s="27" t="s">
        <v>89</v>
      </c>
      <c r="D47" s="27" t="s">
        <v>143</v>
      </c>
      <c r="E47" s="27" t="s">
        <v>144</v>
      </c>
    </row>
    <row r="48" ht="15.75" customHeight="1">
      <c r="A48" s="27" t="s">
        <v>228</v>
      </c>
      <c r="B48" s="27" t="s">
        <v>196</v>
      </c>
      <c r="C48" s="27" t="s">
        <v>89</v>
      </c>
      <c r="D48" s="27" t="s">
        <v>143</v>
      </c>
      <c r="E48" s="27" t="s">
        <v>144</v>
      </c>
    </row>
    <row r="49" ht="15.75" customHeight="1">
      <c r="A49" s="27" t="s">
        <v>229</v>
      </c>
      <c r="B49" s="27" t="s">
        <v>189</v>
      </c>
      <c r="C49" s="27" t="s">
        <v>89</v>
      </c>
      <c r="D49" s="27" t="s">
        <v>143</v>
      </c>
      <c r="E49" s="27" t="s">
        <v>144</v>
      </c>
    </row>
    <row r="50" ht="15.75" customHeight="1">
      <c r="A50" s="27" t="s">
        <v>230</v>
      </c>
      <c r="B50" s="27" t="s">
        <v>231</v>
      </c>
      <c r="C50" s="27" t="s">
        <v>111</v>
      </c>
      <c r="D50" s="27" t="s">
        <v>162</v>
      </c>
      <c r="E50" s="27" t="s">
        <v>134</v>
      </c>
    </row>
    <row r="51" ht="15.75" customHeight="1">
      <c r="A51" s="27" t="s">
        <v>232</v>
      </c>
      <c r="B51" s="27" t="s">
        <v>173</v>
      </c>
      <c r="C51" s="27" t="s">
        <v>115</v>
      </c>
      <c r="D51" s="27" t="s">
        <v>127</v>
      </c>
      <c r="E51" s="27" t="s">
        <v>153</v>
      </c>
    </row>
    <row r="52" ht="15.75" customHeight="1">
      <c r="A52" s="27" t="s">
        <v>233</v>
      </c>
      <c r="B52" s="27" t="s">
        <v>173</v>
      </c>
      <c r="C52" s="27" t="s">
        <v>118</v>
      </c>
      <c r="D52" s="27" t="s">
        <v>152</v>
      </c>
      <c r="E52" s="27" t="s">
        <v>153</v>
      </c>
    </row>
    <row r="53" ht="15.75" customHeight="1">
      <c r="A53" s="27" t="s">
        <v>234</v>
      </c>
      <c r="C53" s="27" t="s">
        <v>115</v>
      </c>
      <c r="D53" s="27" t="s">
        <v>147</v>
      </c>
      <c r="E53" s="27" t="s">
        <v>128</v>
      </c>
    </row>
    <row r="54" ht="15.75" customHeight="1">
      <c r="A54" s="27" t="s">
        <v>235</v>
      </c>
      <c r="C54" s="27" t="s">
        <v>118</v>
      </c>
      <c r="D54" s="27" t="s">
        <v>236</v>
      </c>
      <c r="E54" s="27" t="s">
        <v>237</v>
      </c>
    </row>
    <row r="55" ht="15.75" customHeight="1">
      <c r="A55" s="27" t="s">
        <v>238</v>
      </c>
      <c r="B55" s="27" t="s">
        <v>180</v>
      </c>
      <c r="C55" s="27" t="s">
        <v>118</v>
      </c>
      <c r="D55" s="27" t="s">
        <v>140</v>
      </c>
      <c r="E55" s="27" t="s">
        <v>144</v>
      </c>
    </row>
    <row r="56" ht="15.75" customHeight="1">
      <c r="A56" s="27" t="s">
        <v>239</v>
      </c>
      <c r="B56" s="27" t="s">
        <v>123</v>
      </c>
      <c r="C56" s="27" t="s">
        <v>107</v>
      </c>
      <c r="D56" s="27" t="s">
        <v>124</v>
      </c>
      <c r="E56" s="27" t="s">
        <v>125</v>
      </c>
    </row>
    <row r="57" ht="15.75" customHeight="1">
      <c r="A57" s="27" t="s">
        <v>240</v>
      </c>
      <c r="B57" s="27" t="s">
        <v>123</v>
      </c>
      <c r="C57" s="27" t="s">
        <v>111</v>
      </c>
      <c r="D57" s="27" t="s">
        <v>203</v>
      </c>
      <c r="E57" s="27" t="s">
        <v>125</v>
      </c>
    </row>
    <row r="58" ht="15.75" customHeight="1">
      <c r="A58" s="27" t="s">
        <v>241</v>
      </c>
      <c r="B58" s="27" t="s">
        <v>123</v>
      </c>
      <c r="C58" s="27" t="s">
        <v>115</v>
      </c>
      <c r="D58" s="27" t="s">
        <v>242</v>
      </c>
      <c r="E58" s="27" t="s">
        <v>125</v>
      </c>
    </row>
    <row r="59" ht="15.75" customHeight="1">
      <c r="A59" s="27" t="s">
        <v>243</v>
      </c>
      <c r="B59" s="27" t="s">
        <v>123</v>
      </c>
      <c r="C59" s="27" t="s">
        <v>103</v>
      </c>
      <c r="D59" s="27" t="s">
        <v>124</v>
      </c>
      <c r="E59" s="27" t="s">
        <v>125</v>
      </c>
    </row>
    <row r="60" ht="15.75" customHeight="1">
      <c r="A60" s="27" t="s">
        <v>244</v>
      </c>
      <c r="B60" s="27" t="s">
        <v>123</v>
      </c>
      <c r="C60" s="27" t="s">
        <v>118</v>
      </c>
      <c r="D60" s="27" t="s">
        <v>171</v>
      </c>
      <c r="E60" s="27" t="s">
        <v>125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